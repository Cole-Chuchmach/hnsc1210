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ec\Desktop\Winter 2026\HNSC 1210\Assignment 1\"/>
    </mc:Choice>
  </mc:AlternateContent>
  <xr:revisionPtr revIDLastSave="0" documentId="13_ncr:1_{63D2E8D6-AD86-4C46-B2CA-F73A27E174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y 1" sheetId="1" r:id="rId1"/>
    <sheet name="Day 2" sheetId="3" r:id="rId2"/>
    <sheet name="Total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B5" i="2"/>
  <c r="K22" i="3"/>
  <c r="J22" i="3"/>
  <c r="K19" i="1"/>
  <c r="J19" i="1"/>
  <c r="D5" i="2" l="1"/>
  <c r="C4" i="2"/>
  <c r="B4" i="2"/>
  <c r="C3" i="2"/>
  <c r="B3" i="2"/>
  <c r="C2" i="2"/>
  <c r="B2" i="2"/>
  <c r="G22" i="3"/>
  <c r="H22" i="3"/>
  <c r="I22" i="3"/>
  <c r="I19" i="1"/>
  <c r="H19" i="1"/>
  <c r="G19" i="1"/>
  <c r="D4" i="2" l="1"/>
  <c r="D2" i="2"/>
  <c r="D3" i="2"/>
</calcChain>
</file>

<file path=xl/sharedStrings.xml><?xml version="1.0" encoding="utf-8"?>
<sst xmlns="http://schemas.openxmlformats.org/spreadsheetml/2006/main" count="286" uniqueCount="86">
  <si>
    <t>When You Ate</t>
  </si>
  <si>
    <t>Where You Ate</t>
  </si>
  <si>
    <t>What You Ate</t>
  </si>
  <si>
    <t>How Much You Ate</t>
  </si>
  <si>
    <t>How You Ate</t>
  </si>
  <si>
    <t>Why You Ate</t>
  </si>
  <si>
    <t>Vegetables and Fruits Intake (cups)</t>
  </si>
  <si>
    <t>Whole Grain Foods Intake (cups)</t>
  </si>
  <si>
    <t>Protein Foods Intake (cups)</t>
  </si>
  <si>
    <t xml:space="preserve">Other </t>
  </si>
  <si>
    <t>Water, Plain Coffee, Tea</t>
  </si>
  <si>
    <t>Home</t>
  </si>
  <si>
    <t>2 slices (2 cups)</t>
  </si>
  <si>
    <t>hungry</t>
  </si>
  <si>
    <t>2 cups</t>
  </si>
  <si>
    <t>1 cup</t>
  </si>
  <si>
    <t>Banana</t>
  </si>
  <si>
    <t>Water, tap</t>
  </si>
  <si>
    <t>1/2 cup</t>
  </si>
  <si>
    <t>1.5 cups</t>
  </si>
  <si>
    <t>1 slice (1 cup)</t>
  </si>
  <si>
    <t>Water</t>
  </si>
  <si>
    <t>Total</t>
  </si>
  <si>
    <t>Other</t>
  </si>
  <si>
    <t>Slowly, relaxed</t>
  </si>
  <si>
    <t>Hungry</t>
  </si>
  <si>
    <t>Whole Grain Bread</t>
  </si>
  <si>
    <t>Garlic bread</t>
  </si>
  <si>
    <t>Popcorn</t>
  </si>
  <si>
    <t>Food Group</t>
  </si>
  <si>
    <t>Day 1 Intake (cups)</t>
  </si>
  <si>
    <t>Day 2 Intake (cups)</t>
  </si>
  <si>
    <t>Average Intake per Day (cups)</t>
  </si>
  <si>
    <t>Vegetables and Fruits</t>
  </si>
  <si>
    <t>Whole Grain Foods</t>
  </si>
  <si>
    <t>Protein Foods</t>
  </si>
  <si>
    <t>~3 Tbsp (~2/10 cup)</t>
  </si>
  <si>
    <t>Milk, 2%</t>
  </si>
  <si>
    <t>slowly and relaxed, semi-late breakfast after waking up</t>
  </si>
  <si>
    <t>Kraft singles cheese</t>
  </si>
  <si>
    <t xml:space="preserve">1 slice (1/4 cup) </t>
  </si>
  <si>
    <t>slowly and relaxed, mid-day snack before diner</t>
  </si>
  <si>
    <t>Pepperoni</t>
  </si>
  <si>
    <t>1.5 cups (~355ml)</t>
  </si>
  <si>
    <t>6 little slices (1/8 cup)</t>
  </si>
  <si>
    <t>Ritz Crackers</t>
  </si>
  <si>
    <t>Kraft smooth peanut butter</t>
  </si>
  <si>
    <t>With my family</t>
  </si>
  <si>
    <t>hungry + family was eating</t>
  </si>
  <si>
    <t>watching movie</t>
  </si>
  <si>
    <t>bored  + a little hungry</t>
  </si>
  <si>
    <t>Chicken</t>
  </si>
  <si>
    <t>Curry sauce</t>
  </si>
  <si>
    <t>Grilled peppers</t>
  </si>
  <si>
    <t>Rice</t>
  </si>
  <si>
    <t>Pea Pods</t>
  </si>
  <si>
    <t>Butter</t>
  </si>
  <si>
    <t>2 Tbsp (2/16 cup)</t>
  </si>
  <si>
    <t>Scrambled eggs</t>
  </si>
  <si>
    <t>2 eggs (2 cups)</t>
  </si>
  <si>
    <t>Green peppers</t>
  </si>
  <si>
    <t>Mushrooms</t>
  </si>
  <si>
    <t xml:space="preserve">1.5 cups (~355ml) </t>
  </si>
  <si>
    <t>Slowly, while studying</t>
  </si>
  <si>
    <t>Hamburger Bun</t>
  </si>
  <si>
    <t>1 bun (1 cup)</t>
  </si>
  <si>
    <t>Salami</t>
  </si>
  <si>
    <t>Tuesday, January 20th 9:15 am</t>
  </si>
  <si>
    <t>Monday, January 19th 10:30 am</t>
  </si>
  <si>
    <t>Pasta</t>
  </si>
  <si>
    <t>Alfredo sauce</t>
  </si>
  <si>
    <t>1 tbsp (1/16 cup)</t>
  </si>
  <si>
    <t>Garlic</t>
  </si>
  <si>
    <t>Grapes</t>
  </si>
  <si>
    <t>Snack while gaming</t>
  </si>
  <si>
    <t xml:space="preserve">A little rushed gaming </t>
  </si>
  <si>
    <t xml:space="preserve">1 normal size (1 cup) </t>
  </si>
  <si>
    <t>1 tbsp (1/16</t>
  </si>
  <si>
    <t>1 slice (1</t>
  </si>
  <si>
    <t>1.5 cups (~355</t>
  </si>
  <si>
    <t>1 slice (1/4</t>
  </si>
  <si>
    <t>Apple</t>
  </si>
  <si>
    <t>~1.5 cups</t>
  </si>
  <si>
    <t>1 bagel (1 cups)</t>
  </si>
  <si>
    <t>Half of an everything bagel</t>
  </si>
  <si>
    <t>Tomato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</si>
</sst>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8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18" fontId="0" fillId="0" borderId="0" xfId="0" applyNumberFormat="1" applyAlignment="1">
      <alignment horizontal="left" wrapText="1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2" fontId="0" fillId="0" borderId="0" xfId="0" applyNumberFormat="1"/>
    <xf numFmtId="164" fontId="0" fillId="0" borderId="0" xfId="0" applyNumberFormat="1" applyAlignment="1">
      <alignment horizontal="center"/>
    </xf>
    <xf numFmtId="2" fontId="2" fillId="0" borderId="2" xfId="0" applyNumberFormat="1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18" fontId="0" fillId="0" borderId="0" xfId="0" applyNumberFormat="1" applyAlignment="1">
      <alignment wrapText="1"/>
    </xf>
    <xf numFmtId="16" fontId="0" fillId="0" borderId="0" xfId="0" applyNumberFormat="1"/>
  </cellXfs>
  <cellStyles count="1">
    <cellStyle name="Normal" xfId="0" builtinId="0"/>
  </cellStyles>
  <dxfs count="33"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numFmt numFmtId="2" formatCode="0.00"/>
    </dxf>
    <dxf>
      <numFmt numFmtId="2" formatCode="0.00"/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numFmt numFmtId="2" formatCode="0.00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My Average Intake</a:t>
            </a:r>
          </a:p>
        </c:rich>
      </c:tx>
      <c:layout>
        <c:manualLayout>
          <c:xMode val="edge"/>
          <c:yMode val="edge"/>
          <c:x val="0.30268044619422574"/>
          <c:y val="3.8194444444444448E-2"/>
        </c:manualLayout>
      </c:layout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C1-494A-8406-79CF7CB7E7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C1-494A-8406-79CF7CB7E7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C1-494A-8406-79CF7CB7E7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C1-494A-8406-79CF7CB7E7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Totals!$A$2:$A$5</c:f>
              <c:strCache>
                <c:ptCount val="4"/>
                <c:pt idx="0">
                  <c:v>Vegetables and Fruits</c:v>
                </c:pt>
                <c:pt idx="1">
                  <c:v>Whole Grain Foods</c:v>
                </c:pt>
                <c:pt idx="2">
                  <c:v>Protein Foods</c:v>
                </c:pt>
                <c:pt idx="3">
                  <c:v>Other</c:v>
                </c:pt>
              </c:strCache>
            </c:strRef>
          </c:cat>
          <c:val>
            <c:numRef>
              <c:f>Totals!$D$2:$D$5</c:f>
              <c:numCache>
                <c:formatCode>0.0</c:formatCode>
                <c:ptCount val="4"/>
                <c:pt idx="0">
                  <c:v>5.5</c:v>
                </c:pt>
                <c:pt idx="1">
                  <c:v>4</c:v>
                </c:pt>
                <c:pt idx="2">
                  <c:v>4.90625</c:v>
                </c:pt>
                <c:pt idx="3">
                  <c:v>1.59375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F3-4925-A616-2B66AC8FD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5</xdr:row>
      <xdr:rowOff>57150</xdr:rowOff>
    </xdr:from>
    <xdr:to>
      <xdr:col>13</xdr:col>
      <xdr:colOff>400050</xdr:colOff>
      <xdr:row>22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55F049-3DA4-5254-10B7-B66BBB2C54D4}"/>
            </a:ext>
            <a:ext uri="{147F2762-F138-4A5C-976F-8EAC2B608ADB}">
              <a16:predDERef xmlns:a16="http://schemas.microsoft.com/office/drawing/2014/main" pred="{9C0CECB2-57AF-EC55-C04B-5B77E7477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9" totalsRowCount="1" headerRowDxfId="32" dataDxfId="31">
  <autoFilter ref="A1:K18" xr:uid="{00000000-0009-0000-0100-000001000000}">
    <filterColumn colId="0" hiddenButton="1"/>
    <filterColumn colId="1" hiddenButton="1"/>
    <filterColumn colId="2" hiddenButton="1"/>
    <filterColumn colId="3" hiddenButton="1"/>
    <filterColumn colId="6" hiddenButton="1"/>
    <filterColumn colId="7" hiddenButton="1"/>
    <filterColumn colId="8" hiddenButton="1"/>
  </autoFilter>
  <tableColumns count="11">
    <tableColumn id="1" xr3:uid="{00000000-0010-0000-0000-000001000000}" name="When You Ate" totalsRowLabel="Total" dataDxfId="30" totalsRowDxfId="13"/>
    <tableColumn id="2" xr3:uid="{00000000-0010-0000-0000-000002000000}" name="Where You Ate" dataDxfId="29" totalsRowDxfId="12"/>
    <tableColumn id="3" xr3:uid="{00000000-0010-0000-0000-000003000000}" name="What You Ate" dataDxfId="28" totalsRowDxfId="11"/>
    <tableColumn id="4" xr3:uid="{00000000-0010-0000-0000-000004000000}" name="How Much You Ate" dataDxfId="27" totalsRowDxfId="10"/>
    <tableColumn id="12" xr3:uid="{00000000-0010-0000-0000-00000C000000}" name="How You Ate" dataDxfId="26"/>
    <tableColumn id="11" xr3:uid="{00000000-0010-0000-0000-00000B000000}" name="Why You Ate" dataDxfId="25"/>
    <tableColumn id="5" xr3:uid="{00000000-0010-0000-0000-000005000000}" name="Vegetables and Fruits Intake (cups)" totalsRowFunction="sum" dataDxfId="24" totalsRowDxfId="9"/>
    <tableColumn id="6" xr3:uid="{00000000-0010-0000-0000-000006000000}" name="Whole Grain Foods Intake (cups)" totalsRowFunction="sum" dataDxfId="23" totalsRowDxfId="8"/>
    <tableColumn id="7" xr3:uid="{00000000-0010-0000-0000-000007000000}" name="Protein Foods Intake (cups)" totalsRowFunction="sum" dataDxfId="22" totalsRowDxfId="7"/>
    <tableColumn id="9" xr3:uid="{00000000-0010-0000-0000-000009000000}" name="Other " totalsRowFunction="sum" dataDxfId="21" totalsRowDxfId="6"/>
    <tableColumn id="10" xr3:uid="{00000000-0010-0000-0000-00000A000000}" name="Water, Plain Coffee, Tea" totalsRowFunction="sum" dataDxfId="20" totalsRow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K22" totalsRowCount="1" headerRowDxfId="19">
  <autoFilter ref="A1:K21" xr:uid="{00000000-0009-0000-0100-000002000000}">
    <filterColumn colId="0" hiddenButton="1"/>
    <filterColumn colId="1" hiddenButton="1"/>
    <filterColumn colId="2" hiddenButton="1"/>
    <filterColumn colId="3" hiddenButton="1"/>
    <filterColumn colId="6" hiddenButton="1"/>
    <filterColumn colId="7" hiddenButton="1"/>
    <filterColumn colId="8" hiddenButton="1"/>
  </autoFilter>
  <tableColumns count="11">
    <tableColumn id="1" xr3:uid="{00000000-0010-0000-0100-000001000000}" name="When You Ate" totalsRowLabel="Total"/>
    <tableColumn id="2" xr3:uid="{00000000-0010-0000-0100-000002000000}" name="Where You Ate"/>
    <tableColumn id="3" xr3:uid="{00000000-0010-0000-0100-000003000000}" name="What You Ate"/>
    <tableColumn id="4" xr3:uid="{00000000-0010-0000-0100-000004000000}" name="How Much You Ate"/>
    <tableColumn id="12" xr3:uid="{00000000-0010-0000-0100-00000C000000}" name="How You Ate"/>
    <tableColumn id="11" xr3:uid="{00000000-0010-0000-0100-00000B000000}" name="Why You Ate"/>
    <tableColumn id="5" xr3:uid="{00000000-0010-0000-0100-000005000000}" name="Vegetables and Fruits Intake (cups)" totalsRowFunction="sum" dataDxfId="18" totalsRowDxfId="4"/>
    <tableColumn id="6" xr3:uid="{00000000-0010-0000-0100-000006000000}" name="Whole Grain Foods Intake (cups)" totalsRowFunction="sum" dataDxfId="17" totalsRowDxfId="3"/>
    <tableColumn id="7" xr3:uid="{00000000-0010-0000-0100-000007000000}" name="Protein Foods Intake (cups)" totalsRowFunction="sum" dataDxfId="16" totalsRowDxfId="2"/>
    <tableColumn id="8" xr3:uid="{00000000-0010-0000-0100-000008000000}" name="Other" totalsRowFunction="sum" dataDxfId="15" totalsRowDxfId="1"/>
    <tableColumn id="9" xr3:uid="{00000000-0010-0000-0100-000009000000}" name="Water, Plain Coffee, Tea" totalsRowFunction="sum" dataDxfId="14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selection activeCell="D5" sqref="D5"/>
    </sheetView>
  </sheetViews>
  <sheetFormatPr defaultColWidth="9.109375" defaultRowHeight="14.4" x14ac:dyDescent="0.3"/>
  <cols>
    <col min="1" max="1" width="13.109375" style="2" bestFit="1" customWidth="1"/>
    <col min="2" max="2" width="10.21875" style="2" bestFit="1" customWidth="1"/>
    <col min="3" max="3" width="18" style="2" bestFit="1" customWidth="1"/>
    <col min="4" max="4" width="11.6640625" style="2" bestFit="1" customWidth="1"/>
    <col min="5" max="5" width="46.5546875" bestFit="1" customWidth="1"/>
    <col min="6" max="6" width="22.77734375" bestFit="1" customWidth="1"/>
    <col min="7" max="7" width="10.21875" style="16" bestFit="1" customWidth="1"/>
    <col min="8" max="8" width="11.77734375" style="16" bestFit="1" customWidth="1"/>
    <col min="9" max="9" width="12.5546875" style="16" bestFit="1" customWidth="1"/>
    <col min="10" max="10" width="10.21875" style="2" bestFit="1" customWidth="1"/>
    <col min="11" max="11" width="15.6640625" style="2" bestFit="1" customWidth="1"/>
    <col min="12" max="16384" width="9.109375" style="2"/>
  </cols>
  <sheetData>
    <row r="1" spans="1:11" s="1" customFormat="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3" t="s">
        <v>4</v>
      </c>
      <c r="F1" s="13" t="s">
        <v>5</v>
      </c>
      <c r="G1" s="15" t="s">
        <v>6</v>
      </c>
      <c r="H1" s="15" t="s">
        <v>7</v>
      </c>
      <c r="I1" s="15" t="s">
        <v>8</v>
      </c>
      <c r="J1" s="17" t="s">
        <v>9</v>
      </c>
      <c r="K1" s="17" t="s">
        <v>10</v>
      </c>
    </row>
    <row r="2" spans="1:11" ht="43.2" x14ac:dyDescent="0.3">
      <c r="A2" s="2" t="s">
        <v>68</v>
      </c>
      <c r="B2" s="2" t="s">
        <v>11</v>
      </c>
      <c r="C2" s="2" t="s">
        <v>84</v>
      </c>
      <c r="D2" s="2" t="s">
        <v>83</v>
      </c>
      <c r="E2" t="s">
        <v>38</v>
      </c>
      <c r="F2" t="s">
        <v>13</v>
      </c>
      <c r="H2" s="16">
        <v>1</v>
      </c>
      <c r="J2" s="16"/>
      <c r="K2" s="16"/>
    </row>
    <row r="3" spans="1:11" ht="28.8" x14ac:dyDescent="0.3">
      <c r="A3" s="5"/>
      <c r="C3" s="2" t="s">
        <v>46</v>
      </c>
      <c r="D3" s="2" t="s">
        <v>36</v>
      </c>
      <c r="E3" t="s">
        <v>38</v>
      </c>
      <c r="F3" t="s">
        <v>13</v>
      </c>
      <c r="I3" s="16">
        <v>0.1875</v>
      </c>
      <c r="J3" s="16"/>
      <c r="K3" s="16"/>
    </row>
    <row r="4" spans="1:11" ht="28.8" x14ac:dyDescent="0.3">
      <c r="A4" s="5"/>
      <c r="C4" s="2" t="s">
        <v>16</v>
      </c>
      <c r="D4" s="2" t="s">
        <v>76</v>
      </c>
      <c r="E4" t="s">
        <v>38</v>
      </c>
      <c r="F4" t="s">
        <v>13</v>
      </c>
      <c r="G4" s="16">
        <v>1</v>
      </c>
      <c r="J4" s="16"/>
      <c r="K4" s="16"/>
    </row>
    <row r="5" spans="1:11" ht="28.8" x14ac:dyDescent="0.3">
      <c r="A5" s="5"/>
      <c r="C5" s="2" t="s">
        <v>37</v>
      </c>
      <c r="D5" s="2" t="s">
        <v>43</v>
      </c>
      <c r="E5" t="s">
        <v>38</v>
      </c>
      <c r="F5" t="s">
        <v>13</v>
      </c>
      <c r="I5" s="16">
        <v>1.5</v>
      </c>
      <c r="J5" s="16"/>
      <c r="K5" s="16"/>
    </row>
    <row r="6" spans="1:11" x14ac:dyDescent="0.3">
      <c r="A6" s="7">
        <v>0.58333333333333337</v>
      </c>
      <c r="B6" s="2" t="s">
        <v>11</v>
      </c>
      <c r="C6" s="2" t="s">
        <v>45</v>
      </c>
      <c r="D6" s="2" t="s">
        <v>18</v>
      </c>
      <c r="E6" t="s">
        <v>41</v>
      </c>
      <c r="F6" t="s">
        <v>13</v>
      </c>
      <c r="H6" s="16">
        <v>0.5</v>
      </c>
      <c r="J6" s="16"/>
      <c r="K6" s="16"/>
    </row>
    <row r="7" spans="1:11" ht="28.8" x14ac:dyDescent="0.3">
      <c r="A7" s="5"/>
      <c r="C7" s="2" t="s">
        <v>39</v>
      </c>
      <c r="D7" s="2" t="s">
        <v>40</v>
      </c>
      <c r="E7" t="s">
        <v>41</v>
      </c>
      <c r="F7" t="s">
        <v>13</v>
      </c>
      <c r="I7" s="16">
        <v>0.25</v>
      </c>
      <c r="J7" s="16"/>
      <c r="K7" s="16"/>
    </row>
    <row r="8" spans="1:11" ht="28.8" x14ac:dyDescent="0.3">
      <c r="A8" s="5"/>
      <c r="C8" s="2" t="s">
        <v>42</v>
      </c>
      <c r="D8" s="5" t="s">
        <v>44</v>
      </c>
      <c r="E8" t="s">
        <v>41</v>
      </c>
      <c r="F8" t="s">
        <v>13</v>
      </c>
      <c r="I8" s="16">
        <v>0.125</v>
      </c>
      <c r="J8" s="16"/>
      <c r="K8" s="16"/>
    </row>
    <row r="9" spans="1:11" ht="28.8" x14ac:dyDescent="0.3">
      <c r="A9" s="5"/>
      <c r="C9" s="2" t="s">
        <v>17</v>
      </c>
      <c r="D9" s="2" t="s">
        <v>43</v>
      </c>
      <c r="E9" t="s">
        <v>41</v>
      </c>
      <c r="F9" t="s">
        <v>13</v>
      </c>
      <c r="J9" s="16"/>
      <c r="K9" s="16">
        <v>1.5</v>
      </c>
    </row>
    <row r="10" spans="1:11" x14ac:dyDescent="0.3">
      <c r="A10" s="7">
        <v>0.75</v>
      </c>
      <c r="B10" s="2" t="s">
        <v>11</v>
      </c>
      <c r="C10" s="2" t="s">
        <v>51</v>
      </c>
      <c r="D10" s="2" t="s">
        <v>15</v>
      </c>
      <c r="E10" t="s">
        <v>47</v>
      </c>
      <c r="F10" t="s">
        <v>48</v>
      </c>
      <c r="I10" s="16">
        <v>1</v>
      </c>
      <c r="J10" s="16"/>
      <c r="K10" s="16"/>
    </row>
    <row r="11" spans="1:11" x14ac:dyDescent="0.3">
      <c r="C11" s="2" t="s">
        <v>52</v>
      </c>
      <c r="D11" s="2" t="s">
        <v>18</v>
      </c>
      <c r="E11" t="s">
        <v>47</v>
      </c>
      <c r="F11" t="s">
        <v>48</v>
      </c>
      <c r="J11" s="16">
        <v>0.5</v>
      </c>
      <c r="K11" s="16"/>
    </row>
    <row r="12" spans="1:11" x14ac:dyDescent="0.3">
      <c r="C12" s="2" t="s">
        <v>53</v>
      </c>
      <c r="D12" s="2" t="s">
        <v>19</v>
      </c>
      <c r="E12" t="s">
        <v>47</v>
      </c>
      <c r="F12" t="s">
        <v>48</v>
      </c>
      <c r="G12" s="16">
        <v>1.5</v>
      </c>
      <c r="J12" s="16"/>
      <c r="K12" s="16"/>
    </row>
    <row r="13" spans="1:11" x14ac:dyDescent="0.3">
      <c r="C13" s="2" t="s">
        <v>55</v>
      </c>
      <c r="D13" s="2" t="s">
        <v>15</v>
      </c>
      <c r="E13" t="s">
        <v>47</v>
      </c>
      <c r="F13" t="s">
        <v>48</v>
      </c>
      <c r="G13" s="16">
        <v>1</v>
      </c>
      <c r="J13" s="16"/>
      <c r="K13" s="16"/>
    </row>
    <row r="14" spans="1:11" x14ac:dyDescent="0.3">
      <c r="C14" s="2" t="s">
        <v>54</v>
      </c>
      <c r="D14" s="2" t="s">
        <v>19</v>
      </c>
      <c r="E14" t="s">
        <v>47</v>
      </c>
      <c r="F14" t="s">
        <v>48</v>
      </c>
      <c r="H14" s="16">
        <v>1.5</v>
      </c>
      <c r="J14" s="16"/>
      <c r="K14" s="16"/>
    </row>
    <row r="15" spans="1:11" x14ac:dyDescent="0.3">
      <c r="C15" s="2" t="s">
        <v>21</v>
      </c>
      <c r="D15" s="2" t="s">
        <v>15</v>
      </c>
      <c r="E15" t="s">
        <v>47</v>
      </c>
      <c r="F15" t="s">
        <v>48</v>
      </c>
      <c r="J15" s="16"/>
      <c r="K15" s="16">
        <v>1</v>
      </c>
    </row>
    <row r="16" spans="1:11" x14ac:dyDescent="0.3">
      <c r="A16" s="7">
        <v>0.95833333333333337</v>
      </c>
      <c r="B16" s="2" t="s">
        <v>11</v>
      </c>
      <c r="C16" s="2" t="s">
        <v>28</v>
      </c>
      <c r="D16" s="2" t="s">
        <v>19</v>
      </c>
      <c r="E16" t="s">
        <v>49</v>
      </c>
      <c r="F16" t="s">
        <v>50</v>
      </c>
      <c r="H16" s="16">
        <v>0.5</v>
      </c>
      <c r="J16" s="16">
        <v>1.5</v>
      </c>
      <c r="K16" s="16"/>
    </row>
    <row r="17" spans="1:11" ht="28.8" x14ac:dyDescent="0.3">
      <c r="A17" s="22"/>
      <c r="C17" s="2" t="s">
        <v>21</v>
      </c>
      <c r="D17" s="2" t="s">
        <v>43</v>
      </c>
      <c r="E17" t="s">
        <v>49</v>
      </c>
      <c r="J17" s="16"/>
      <c r="K17" s="16">
        <v>1.5</v>
      </c>
    </row>
    <row r="18" spans="1:11" x14ac:dyDescent="0.3">
      <c r="J18" s="16"/>
      <c r="K18" s="16"/>
    </row>
    <row r="19" spans="1:11" x14ac:dyDescent="0.3">
      <c r="A19" s="2" t="s">
        <v>22</v>
      </c>
      <c r="G19" s="16">
        <f>SUBTOTAL(109,Table1[Vegetables and Fruits Intake (cups)])</f>
        <v>3.5</v>
      </c>
      <c r="H19" s="16">
        <f>SUBTOTAL(109,Table1[Whole Grain Foods Intake (cups)])</f>
        <v>3.5</v>
      </c>
      <c r="I19" s="16">
        <f>SUBTOTAL(109,Table1[Protein Foods Intake (cups)])</f>
        <v>3.0625</v>
      </c>
      <c r="J19" s="18">
        <f>SUBTOTAL(109,Table1[[Other ]])</f>
        <v>2</v>
      </c>
      <c r="K19" s="16">
        <f>SUBTOTAL(109,Table1[Water, Plain Coffee, Tea])</f>
        <v>4</v>
      </c>
    </row>
  </sheetData>
  <pageMargins left="0.7" right="0.7" top="0.75" bottom="0.75" header="0.3" footer="0.3"/>
  <pageSetup orientation="portrait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abSelected="1" workbookViewId="0">
      <selection activeCell="J12" sqref="J12"/>
    </sheetView>
  </sheetViews>
  <sheetFormatPr defaultRowHeight="14.4" x14ac:dyDescent="0.3"/>
  <cols>
    <col min="1" max="1" width="13.109375" bestFit="1" customWidth="1"/>
    <col min="2" max="2" width="10.21875" bestFit="1" customWidth="1"/>
    <col min="3" max="3" width="17" bestFit="1" customWidth="1"/>
    <col min="4" max="4" width="15.77734375" bestFit="1" customWidth="1"/>
    <col min="5" max="5" width="19" bestFit="1" customWidth="1"/>
    <col min="6" max="6" width="22.77734375" bestFit="1" customWidth="1"/>
    <col min="7" max="7" width="14" style="8" bestFit="1" customWidth="1"/>
    <col min="8" max="8" width="10.88671875" style="8" customWidth="1"/>
    <col min="9" max="9" width="12.5546875" style="8" bestFit="1" customWidth="1"/>
    <col min="10" max="10" width="10.21875" style="18" bestFit="1" customWidth="1"/>
    <col min="11" max="11" width="15.6640625" bestFit="1" customWidth="1"/>
  </cols>
  <sheetData>
    <row r="1" spans="1:11" s="1" customFormat="1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  <c r="I1" s="6" t="s">
        <v>8</v>
      </c>
      <c r="J1" s="20" t="s">
        <v>23</v>
      </c>
      <c r="K1" s="17" t="s">
        <v>10</v>
      </c>
    </row>
    <row r="2" spans="1:11" ht="43.2" x14ac:dyDescent="0.3">
      <c r="A2" s="2" t="s">
        <v>67</v>
      </c>
      <c r="B2" t="s">
        <v>11</v>
      </c>
      <c r="C2" t="s">
        <v>26</v>
      </c>
      <c r="D2" t="s">
        <v>12</v>
      </c>
      <c r="E2" t="s">
        <v>24</v>
      </c>
      <c r="F2" t="s">
        <v>25</v>
      </c>
      <c r="H2" s="8">
        <v>2</v>
      </c>
      <c r="J2" s="21"/>
      <c r="K2" s="8"/>
    </row>
    <row r="3" spans="1:11" x14ac:dyDescent="0.3">
      <c r="A3" s="3"/>
      <c r="C3" t="s">
        <v>56</v>
      </c>
      <c r="D3" t="s">
        <v>57</v>
      </c>
      <c r="E3" t="s">
        <v>24</v>
      </c>
      <c r="F3" t="s">
        <v>25</v>
      </c>
      <c r="J3" s="21">
        <v>0.125</v>
      </c>
      <c r="K3" s="8"/>
    </row>
    <row r="4" spans="1:11" x14ac:dyDescent="0.3">
      <c r="A4" s="3"/>
      <c r="C4" t="s">
        <v>58</v>
      </c>
      <c r="D4" t="s">
        <v>59</v>
      </c>
      <c r="E4" t="s">
        <v>24</v>
      </c>
      <c r="F4" t="s">
        <v>25</v>
      </c>
      <c r="I4" s="8">
        <v>2</v>
      </c>
      <c r="J4" s="21"/>
      <c r="K4" s="8"/>
    </row>
    <row r="5" spans="1:11" x14ac:dyDescent="0.3">
      <c r="A5" s="3"/>
      <c r="C5" t="s">
        <v>60</v>
      </c>
      <c r="D5" t="s">
        <v>15</v>
      </c>
      <c r="E5" t="s">
        <v>24</v>
      </c>
      <c r="F5" t="s">
        <v>25</v>
      </c>
      <c r="G5" s="8">
        <v>1</v>
      </c>
      <c r="J5" s="21"/>
      <c r="K5" s="8"/>
    </row>
    <row r="6" spans="1:11" x14ac:dyDescent="0.3">
      <c r="A6" s="3"/>
      <c r="C6" t="s">
        <v>61</v>
      </c>
      <c r="D6" t="s">
        <v>18</v>
      </c>
      <c r="E6" t="s">
        <v>24</v>
      </c>
      <c r="F6" t="s">
        <v>25</v>
      </c>
      <c r="G6" s="8">
        <v>0.5</v>
      </c>
      <c r="J6" s="21"/>
      <c r="K6" s="8"/>
    </row>
    <row r="7" spans="1:11" x14ac:dyDescent="0.3">
      <c r="A7" s="3"/>
      <c r="C7" t="s">
        <v>37</v>
      </c>
      <c r="D7" t="s">
        <v>62</v>
      </c>
      <c r="E7" t="s">
        <v>24</v>
      </c>
      <c r="F7" t="s">
        <v>25</v>
      </c>
      <c r="I7" s="8">
        <v>1.5</v>
      </c>
      <c r="J7" s="21"/>
      <c r="K7" s="8"/>
    </row>
    <row r="8" spans="1:11" x14ac:dyDescent="0.3">
      <c r="A8" s="4">
        <v>0.60416666666666663</v>
      </c>
      <c r="B8" t="s">
        <v>11</v>
      </c>
      <c r="C8" t="s">
        <v>64</v>
      </c>
      <c r="D8" t="s">
        <v>65</v>
      </c>
      <c r="E8" t="s">
        <v>63</v>
      </c>
      <c r="F8" t="s">
        <v>25</v>
      </c>
      <c r="H8" s="8">
        <v>1</v>
      </c>
      <c r="J8" s="21"/>
      <c r="K8" s="8"/>
    </row>
    <row r="9" spans="1:11" x14ac:dyDescent="0.3">
      <c r="A9" s="3"/>
      <c r="C9" t="s">
        <v>66</v>
      </c>
      <c r="D9" s="23" t="s">
        <v>18</v>
      </c>
      <c r="E9" t="s">
        <v>63</v>
      </c>
      <c r="F9" t="s">
        <v>25</v>
      </c>
      <c r="I9" s="8">
        <v>0.5</v>
      </c>
      <c r="J9" s="21"/>
      <c r="K9" s="8"/>
    </row>
    <row r="10" spans="1:11" x14ac:dyDescent="0.3">
      <c r="A10" s="3"/>
      <c r="C10" t="s">
        <v>85</v>
      </c>
      <c r="D10" s="23" t="s">
        <v>15</v>
      </c>
      <c r="E10" t="s">
        <v>63</v>
      </c>
      <c r="F10" t="s">
        <v>25</v>
      </c>
      <c r="G10" s="8">
        <v>1</v>
      </c>
      <c r="J10" s="21"/>
      <c r="K10" s="8"/>
    </row>
    <row r="11" spans="1:11" x14ac:dyDescent="0.3">
      <c r="A11" s="3"/>
      <c r="C11" s="2" t="s">
        <v>39</v>
      </c>
      <c r="D11" s="2" t="s">
        <v>40</v>
      </c>
      <c r="E11" t="s">
        <v>63</v>
      </c>
      <c r="F11" t="s">
        <v>25</v>
      </c>
      <c r="I11" s="8">
        <v>0.25</v>
      </c>
      <c r="J11" s="21"/>
      <c r="K11" s="8"/>
    </row>
    <row r="12" spans="1:11" x14ac:dyDescent="0.3">
      <c r="A12" s="3"/>
      <c r="C12" s="2" t="s">
        <v>81</v>
      </c>
      <c r="D12" s="2" t="s">
        <v>82</v>
      </c>
      <c r="E12" t="s">
        <v>63</v>
      </c>
      <c r="F12" t="s">
        <v>25</v>
      </c>
      <c r="G12" s="8">
        <v>1.5</v>
      </c>
      <c r="J12" s="21"/>
      <c r="K12" s="8"/>
    </row>
    <row r="13" spans="1:11" x14ac:dyDescent="0.3">
      <c r="A13" s="3"/>
      <c r="C13" t="s">
        <v>37</v>
      </c>
      <c r="D13" t="s">
        <v>62</v>
      </c>
      <c r="E13" t="s">
        <v>63</v>
      </c>
      <c r="F13" t="s">
        <v>25</v>
      </c>
      <c r="I13" s="8">
        <v>1.5</v>
      </c>
      <c r="J13" s="21"/>
      <c r="K13" s="8"/>
    </row>
    <row r="14" spans="1:11" x14ac:dyDescent="0.3">
      <c r="A14" s="4">
        <v>0.77083333333333337</v>
      </c>
      <c r="B14" t="s">
        <v>11</v>
      </c>
      <c r="C14" t="s">
        <v>69</v>
      </c>
      <c r="D14" t="s">
        <v>19</v>
      </c>
      <c r="E14" t="s">
        <v>47</v>
      </c>
      <c r="F14" t="s">
        <v>48</v>
      </c>
      <c r="H14" s="8">
        <v>1.5</v>
      </c>
      <c r="J14" s="21"/>
      <c r="K14" s="8"/>
    </row>
    <row r="15" spans="1:11" x14ac:dyDescent="0.3">
      <c r="C15" t="s">
        <v>70</v>
      </c>
      <c r="D15" t="s">
        <v>18</v>
      </c>
      <c r="E15" t="s">
        <v>47</v>
      </c>
      <c r="F15" t="s">
        <v>48</v>
      </c>
      <c r="I15" s="8">
        <v>0.5</v>
      </c>
      <c r="J15" s="21"/>
      <c r="K15" s="8"/>
    </row>
    <row r="16" spans="1:11" x14ac:dyDescent="0.3">
      <c r="C16" t="s">
        <v>60</v>
      </c>
      <c r="D16" t="s">
        <v>15</v>
      </c>
      <c r="E16" t="s">
        <v>47</v>
      </c>
      <c r="F16" t="s">
        <v>48</v>
      </c>
      <c r="G16" s="8">
        <v>1</v>
      </c>
      <c r="J16" s="21"/>
      <c r="K16" s="8"/>
    </row>
    <row r="17" spans="1:11" x14ac:dyDescent="0.3">
      <c r="C17" t="s">
        <v>61</v>
      </c>
      <c r="D17" t="s">
        <v>18</v>
      </c>
      <c r="E17" t="s">
        <v>47</v>
      </c>
      <c r="F17" t="s">
        <v>48</v>
      </c>
      <c r="G17" s="8">
        <v>0.5</v>
      </c>
      <c r="J17" s="21"/>
      <c r="K17" s="8"/>
    </row>
    <row r="18" spans="1:11" x14ac:dyDescent="0.3">
      <c r="C18" t="s">
        <v>72</v>
      </c>
      <c r="D18" t="s">
        <v>71</v>
      </c>
      <c r="E18" t="s">
        <v>47</v>
      </c>
      <c r="F18" t="s">
        <v>48</v>
      </c>
      <c r="I18" s="8">
        <v>0.5</v>
      </c>
      <c r="J18" s="21">
        <v>6.25E-2</v>
      </c>
      <c r="K18" s="8"/>
    </row>
    <row r="19" spans="1:11" x14ac:dyDescent="0.3">
      <c r="C19" t="s">
        <v>27</v>
      </c>
      <c r="D19" t="s">
        <v>20</v>
      </c>
      <c r="E19" t="s">
        <v>47</v>
      </c>
      <c r="F19" t="s">
        <v>48</v>
      </c>
      <c r="J19" s="21">
        <v>1</v>
      </c>
      <c r="K19" s="8"/>
    </row>
    <row r="20" spans="1:11" x14ac:dyDescent="0.3">
      <c r="A20" s="4">
        <v>0.91666666666666663</v>
      </c>
      <c r="B20" t="s">
        <v>11</v>
      </c>
      <c r="C20" s="2" t="s">
        <v>73</v>
      </c>
      <c r="D20" t="s">
        <v>14</v>
      </c>
      <c r="E20" t="s">
        <v>75</v>
      </c>
      <c r="F20" t="s">
        <v>74</v>
      </c>
      <c r="G20" s="8">
        <v>2</v>
      </c>
      <c r="J20" s="21"/>
      <c r="K20" s="8"/>
    </row>
    <row r="21" spans="1:11" x14ac:dyDescent="0.3">
      <c r="A21" s="4"/>
      <c r="C21" s="2" t="s">
        <v>21</v>
      </c>
      <c r="D21" t="s">
        <v>14</v>
      </c>
      <c r="E21" t="s">
        <v>75</v>
      </c>
      <c r="F21" t="s">
        <v>74</v>
      </c>
      <c r="J21" s="21"/>
      <c r="K21" s="8">
        <v>2</v>
      </c>
    </row>
    <row r="22" spans="1:11" x14ac:dyDescent="0.3">
      <c r="A22" t="s">
        <v>22</v>
      </c>
      <c r="G22" s="8">
        <f>SUBTOTAL(109,Table2[Vegetables and Fruits Intake (cups)])</f>
        <v>7.5</v>
      </c>
      <c r="H22" s="8">
        <f>SUBTOTAL(109,Table2[Whole Grain Foods Intake (cups)])</f>
        <v>4.5</v>
      </c>
      <c r="I22" s="8">
        <f>SUBTOTAL(109,Table2[Protein Foods Intake (cups)])</f>
        <v>6.75</v>
      </c>
      <c r="J22" s="21">
        <f>SUBTOTAL(109,Table2[Other])</f>
        <v>1.1875</v>
      </c>
      <c r="K22" s="8">
        <f>SUBTOTAL(109,Table2[Water, Plain Coffee, Tea])</f>
        <v>2</v>
      </c>
    </row>
  </sheetData>
  <pageMargins left="0.7" right="0.7" top="0.75" bottom="0.75" header="0.3" footer="0.3"/>
  <pageSetup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P11" sqref="P11"/>
    </sheetView>
  </sheetViews>
  <sheetFormatPr defaultRowHeight="14.4" x14ac:dyDescent="0.3"/>
  <cols>
    <col min="1" max="1" width="23.109375" customWidth="1"/>
    <col min="4" max="4" width="17.5546875" style="9" customWidth="1"/>
  </cols>
  <sheetData>
    <row r="1" spans="1:6" ht="43.8" thickBot="1" x14ac:dyDescent="0.35">
      <c r="A1" s="1" t="s">
        <v>29</v>
      </c>
      <c r="B1" s="6" t="s">
        <v>30</v>
      </c>
      <c r="C1" s="6" t="s">
        <v>31</v>
      </c>
      <c r="D1" s="14" t="s">
        <v>32</v>
      </c>
      <c r="E1" s="2"/>
      <c r="F1" s="2"/>
    </row>
    <row r="2" spans="1:6" x14ac:dyDescent="0.3">
      <c r="A2" s="2" t="s">
        <v>33</v>
      </c>
      <c r="B2" s="11">
        <f>SUBTOTAL(109,Table1[Vegetables and Fruits Intake (cups)])</f>
        <v>3.5</v>
      </c>
      <c r="C2" s="12">
        <f>SUBTOTAL(109,Table2[Vegetables and Fruits Intake (cups)])</f>
        <v>7.5</v>
      </c>
      <c r="D2" s="10">
        <f>AVERAGE(B2:C2)</f>
        <v>5.5</v>
      </c>
      <c r="E2" s="2"/>
      <c r="F2" s="2"/>
    </row>
    <row r="3" spans="1:6" ht="15.6" thickTop="1" thickBot="1" x14ac:dyDescent="0.35">
      <c r="A3" s="2" t="s">
        <v>34</v>
      </c>
      <c r="B3" s="11">
        <f>SUBTOTAL(109,Table1[Whole Grain Foods Intake (cups)])</f>
        <v>3.5</v>
      </c>
      <c r="C3" s="12">
        <f>SUBTOTAL(109,Table2[Whole Grain Foods Intake (cups)])</f>
        <v>4.5</v>
      </c>
      <c r="D3" s="10">
        <f>AVERAGE(B3:C3)</f>
        <v>4</v>
      </c>
      <c r="E3" s="2"/>
      <c r="F3" s="2"/>
    </row>
    <row r="4" spans="1:6" ht="15" thickTop="1" x14ac:dyDescent="0.3">
      <c r="A4" s="2" t="s">
        <v>35</v>
      </c>
      <c r="B4" s="11">
        <f>SUBTOTAL(109,Table1[Protein Foods Intake (cups)])</f>
        <v>3.0625</v>
      </c>
      <c r="C4" s="12">
        <f>SUBTOTAL(109,Table2[Protein Foods Intake (cups)])</f>
        <v>6.75</v>
      </c>
      <c r="D4" s="10">
        <f>AVERAGE(B4:C4)</f>
        <v>4.90625</v>
      </c>
      <c r="E4" s="2"/>
      <c r="F4" s="2"/>
    </row>
    <row r="5" spans="1:6" x14ac:dyDescent="0.3">
      <c r="A5" s="2" t="s">
        <v>23</v>
      </c>
      <c r="B5">
        <f>SUBTOTAL(109,Table1[[Other ]])</f>
        <v>2</v>
      </c>
      <c r="C5">
        <f>SUBTOTAL(109,Table2[Other])</f>
        <v>1.1875</v>
      </c>
      <c r="D5" s="19">
        <f>AVERAGE(B5:C5)</f>
        <v>1.59375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9D0A2B255F9E408D677A6C344D2D5E" ma:contentTypeVersion="4" ma:contentTypeDescription="Create a new document." ma:contentTypeScope="" ma:versionID="28284097b2f553a088ca8f91bbf3ce2e">
  <xsd:schema xmlns:xsd="http://www.w3.org/2001/XMLSchema" xmlns:xs="http://www.w3.org/2001/XMLSchema" xmlns:p="http://schemas.microsoft.com/office/2006/metadata/properties" xmlns:ns2="c782a54f-2ffd-4cea-86a4-9cc78e9c76c1" targetNamespace="http://schemas.microsoft.com/office/2006/metadata/properties" ma:root="true" ma:fieldsID="f90400d5c5e639aafb0ed2cf4b9c4ffe" ns2:_="">
    <xsd:import namespace="c782a54f-2ffd-4cea-86a4-9cc78e9c76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82a54f-2ffd-4cea-86a4-9cc78e9c76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16506A-160B-4C11-BC6D-0A590F0C67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4D4E33-D6DF-48EF-9383-C9B10A9B35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82a54f-2ffd-4cea-86a4-9cc78e9c76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61E602-BE18-4747-88FA-CC370E265E54}">
  <ds:schemaRefs>
    <ds:schemaRef ds:uri="http://schemas.microsoft.com/office/2006/metadata/properties"/>
    <ds:schemaRef ds:uri="http://schemas.microsoft.com/office/infopath/2007/PartnerControls"/>
    <ds:schemaRef ds:uri="34cde355-ffc1-4e48-a85b-baaa6a11fe3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1</vt:lpstr>
      <vt:lpstr>Day 2</vt:lpstr>
      <vt:lpstr>Totals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Kristin Hildahl-Shawn</dc:creator>
  <cp:keywords/>
  <dc:description/>
  <cp:lastModifiedBy>Cole Chuchmach</cp:lastModifiedBy>
  <cp:revision/>
  <dcterms:created xsi:type="dcterms:W3CDTF">2017-08-15T17:52:37Z</dcterms:created>
  <dcterms:modified xsi:type="dcterms:W3CDTF">2026-01-21T19:01:08Z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0x0101008B9D0A2B255F9E408D677A6C344D2D5E</vt:lpwstr>
  </property>
</Properties>
</file>